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nest/Documents/Programming/Projects/Basketball Simulator (Web)/Data/"/>
    </mc:Choice>
  </mc:AlternateContent>
  <xr:revisionPtr revIDLastSave="0" documentId="13_ncr:1_{96E372E3-B682-5F4F-99DB-C6EDD76F4A51}" xr6:coauthVersionLast="47" xr6:coauthVersionMax="47" xr10:uidLastSave="{00000000-0000-0000-0000-000000000000}"/>
  <bookViews>
    <workbookView xWindow="0" yWindow="500" windowWidth="28800" windowHeight="15740" xr2:uid="{96BF1F3F-88DC-424E-B8C1-1B85D5C3A307}"/>
  </bookViews>
  <sheets>
    <sheet name="Archetype Distribution" sheetId="1" r:id="rId1"/>
    <sheet name="Overall Rating Distribution" sheetId="3" r:id="rId2"/>
    <sheet name="Position Distribu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H27" i="3"/>
  <c r="H28" i="3"/>
  <c r="H29" i="3"/>
  <c r="H30" i="3"/>
  <c r="H31" i="3"/>
  <c r="H32" i="3"/>
  <c r="H33" i="3"/>
  <c r="H34" i="3"/>
  <c r="H35" i="3"/>
  <c r="H36" i="3"/>
  <c r="H3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6" i="2"/>
  <c r="B5" i="2"/>
  <c r="B4" i="2"/>
  <c r="B3" i="2"/>
  <c r="B2" i="2"/>
</calcChain>
</file>

<file path=xl/sharedStrings.xml><?xml version="1.0" encoding="utf-8"?>
<sst xmlns="http://schemas.openxmlformats.org/spreadsheetml/2006/main" count="50" uniqueCount="44">
  <si>
    <t>Archetype</t>
  </si>
  <si>
    <t>Probability</t>
  </si>
  <si>
    <t>GENERATIONAL</t>
  </si>
  <si>
    <t>OFFENSIVE_THREAT</t>
  </si>
  <si>
    <t>SCORING_MACHINE</t>
  </si>
  <si>
    <t>FLOOR_GENERAL</t>
  </si>
  <si>
    <t>POINT_FORWARD</t>
  </si>
  <si>
    <t>PLAYMAKING_SHARPSHOOTER</t>
  </si>
  <si>
    <t>PLAYMAKING_SLASHER</t>
  </si>
  <si>
    <t>PLAYMAKING_DEFENDER</t>
  </si>
  <si>
    <t>PLAYMAKING_SHOT_CREATOR</t>
  </si>
  <si>
    <t>ELUSIVE_FINISHER</t>
  </si>
  <si>
    <t>SLASHING_SHARPSHOOTER</t>
  </si>
  <si>
    <t>SLASHING_PLAYMAKER</t>
  </si>
  <si>
    <t>SLASHING_POINT_FORWARD</t>
  </si>
  <si>
    <t>SLASHING_DEFENDER</t>
  </si>
  <si>
    <t>SLASHING_SHOT_CREATOR</t>
  </si>
  <si>
    <t>THREE_POINT_SPECIALIST</t>
  </si>
  <si>
    <t>THREE_AND_D_WING</t>
  </si>
  <si>
    <t>SHOOTER</t>
  </si>
  <si>
    <t>SHARPSHOOTING_PLAYMAKER</t>
  </si>
  <si>
    <t>SHARPSHOOTING_SLASHER</t>
  </si>
  <si>
    <t>SHARPSHOOTING_SHOT_CREATOR</t>
  </si>
  <si>
    <t>LOCKDOWN_DEFENDER</t>
  </si>
  <si>
    <t>TWO_WAY_SLASHER</t>
  </si>
  <si>
    <t>TWO_WAY_PLAYMAKER</t>
  </si>
  <si>
    <t>TWO_WAY_POINT_FORWARD</t>
  </si>
  <si>
    <t>ALL_AROUND_POINT_GUARD</t>
  </si>
  <si>
    <t>ALL_AROUND_SHOOTING_GUARD</t>
  </si>
  <si>
    <t>ALL_AROUND_SMALL_FORWARD</t>
  </si>
  <si>
    <t>RIM_PROTECTOR</t>
  </si>
  <si>
    <t>STRETCH_BIG</t>
  </si>
  <si>
    <t>REBOUNDER</t>
  </si>
  <si>
    <t>POST_SCORER</t>
  </si>
  <si>
    <t>PAINT_BEAST</t>
  </si>
  <si>
    <t>BIG_GUARD</t>
  </si>
  <si>
    <t>ATHLETIC_FINISHER</t>
  </si>
  <si>
    <t>Overall</t>
  </si>
  <si>
    <t>Position</t>
  </si>
  <si>
    <t>PG</t>
  </si>
  <si>
    <t>SG</t>
  </si>
  <si>
    <t>SF</t>
  </si>
  <si>
    <t>PF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</si>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</sst>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Distribution of Archetypes</a:t>
            </a:r>
            <a:r>
              <a:rPr lang="en-US" baseline="0"/>
              <a:t> (Ignoring Position of Player)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'Archetype Distribution'!$B$1</c:f>
              <c:strCache>
                <c:ptCount val="1"/>
                <c:pt idx="0">
                  <c:v>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'Archetype Distribution'!$A$2:$A$35</c:f>
              <c:strCache>
                <c:ptCount val="34"/>
                <c:pt idx="0">
                  <c:v>GENERATIONAL</c:v>
                </c:pt>
                <c:pt idx="1">
                  <c:v>SCORING_MACHINE</c:v>
                </c:pt>
                <c:pt idx="2">
                  <c:v>ALL_AROUND_SHOOTING_GUARD</c:v>
                </c:pt>
                <c:pt idx="3">
                  <c:v>OFFENSIVE_THREAT</c:v>
                </c:pt>
                <c:pt idx="4">
                  <c:v>ALL_AROUND_POINT_GUARD</c:v>
                </c:pt>
                <c:pt idx="5">
                  <c:v>ALL_AROUND_SMALL_FORWARD</c:v>
                </c:pt>
                <c:pt idx="6">
                  <c:v>LOCKDOWN_DEFENDER</c:v>
                </c:pt>
                <c:pt idx="7">
                  <c:v>POINT_FORWARD</c:v>
                </c:pt>
                <c:pt idx="8">
                  <c:v>STRETCH_BIG</c:v>
                </c:pt>
                <c:pt idx="9">
                  <c:v>BIG_GUARD</c:v>
                </c:pt>
                <c:pt idx="10">
                  <c:v>SLASHING_SHARPSHOOTER</c:v>
                </c:pt>
                <c:pt idx="11">
                  <c:v>SHARPSHOOTING_SHOT_CREATOR</c:v>
                </c:pt>
                <c:pt idx="12">
                  <c:v>FLOOR_GENERAL</c:v>
                </c:pt>
                <c:pt idx="13">
                  <c:v>SHARPSHOOTING_SLASHER</c:v>
                </c:pt>
                <c:pt idx="14">
                  <c:v>SLASHING_SHOT_CREATOR</c:v>
                </c:pt>
                <c:pt idx="15">
                  <c:v>ATHLETIC_FINISHER</c:v>
                </c:pt>
                <c:pt idx="16">
                  <c:v>PLAYMAKING_DEFENDER</c:v>
                </c:pt>
                <c:pt idx="17">
                  <c:v>SLASHING_PLAYMAKER</c:v>
                </c:pt>
                <c:pt idx="18">
                  <c:v>POST_SCORER</c:v>
                </c:pt>
                <c:pt idx="19">
                  <c:v>SHARPSHOOTING_PLAYMAKER</c:v>
                </c:pt>
                <c:pt idx="20">
                  <c:v>SLASHING_POINT_FORWARD</c:v>
                </c:pt>
                <c:pt idx="21">
                  <c:v>TWO_WAY_SLASHER</c:v>
                </c:pt>
                <c:pt idx="22">
                  <c:v>TWO_WAY_PLAYMAKER</c:v>
                </c:pt>
                <c:pt idx="23">
                  <c:v>TWO_WAY_POINT_FORWARD</c:v>
                </c:pt>
                <c:pt idx="24">
                  <c:v>PLAYMAKING_SHOT_CREATOR</c:v>
                </c:pt>
                <c:pt idx="25">
                  <c:v>ELUSIVE_FINISHER</c:v>
                </c:pt>
                <c:pt idx="26">
                  <c:v>SLASHING_DEFENDER</c:v>
                </c:pt>
                <c:pt idx="27">
                  <c:v>THREE_POINT_SPECIALIST</c:v>
                </c:pt>
                <c:pt idx="28">
                  <c:v>PAINT_BEAST</c:v>
                </c:pt>
                <c:pt idx="29">
                  <c:v>PLAYMAKING_SHARPSHOOTER</c:v>
                </c:pt>
                <c:pt idx="30">
                  <c:v>PLAYMAKING_SLASHER</c:v>
                </c:pt>
                <c:pt idx="31">
                  <c:v>REBOUNDER</c:v>
                </c:pt>
                <c:pt idx="32">
                  <c:v>RIM_PROTECTOR</c:v>
                </c:pt>
                <c:pt idx="33">
                  <c:v>THREE_AND_D_WING</c:v>
                </c:pt>
              </c:strCache>
            </c:strRef>
          </c:cat>
          <c:val>
            <c:numRef>
              <c:f>'Archetype Distribution'!$B$2:$B$35</c:f>
              <c:numCache>
                <c:formatCode>General</c:formatCode>
                <c:ptCount val="34"/>
                <c:pt idx="0">
                  <c:v>5.0000000000000001E-3</c:v>
                </c:pt>
                <c:pt idx="1">
                  <c:v>7.4999999999999997E-3</c:v>
                </c:pt>
                <c:pt idx="2">
                  <c:v>1.7999999999999999E-2</c:v>
                </c:pt>
                <c:pt idx="3">
                  <c:v>1.9E-2</c:v>
                </c:pt>
                <c:pt idx="4">
                  <c:v>1.9E-2</c:v>
                </c:pt>
                <c:pt idx="5">
                  <c:v>1.9E-2</c:v>
                </c:pt>
                <c:pt idx="6">
                  <c:v>0.02</c:v>
                </c:pt>
                <c:pt idx="7">
                  <c:v>2.1000000000000001E-2</c:v>
                </c:pt>
                <c:pt idx="8">
                  <c:v>2.1000000000000001E-2</c:v>
                </c:pt>
                <c:pt idx="9">
                  <c:v>2.1000000000000001E-2</c:v>
                </c:pt>
                <c:pt idx="10">
                  <c:v>2.1999999999999999E-2</c:v>
                </c:pt>
                <c:pt idx="11">
                  <c:v>2.1999999999999999E-2</c:v>
                </c:pt>
                <c:pt idx="12">
                  <c:v>2.3E-2</c:v>
                </c:pt>
                <c:pt idx="13">
                  <c:v>2.3E-2</c:v>
                </c:pt>
                <c:pt idx="14">
                  <c:v>2.4E-2</c:v>
                </c:pt>
                <c:pt idx="15">
                  <c:v>2.4E-2</c:v>
                </c:pt>
                <c:pt idx="16">
                  <c:v>2.5000000000000001E-2</c:v>
                </c:pt>
                <c:pt idx="17">
                  <c:v>2.5999999999999999E-2</c:v>
                </c:pt>
                <c:pt idx="18">
                  <c:v>2.5999999999999999E-2</c:v>
                </c:pt>
                <c:pt idx="19">
                  <c:v>2.7E-2</c:v>
                </c:pt>
                <c:pt idx="20">
                  <c:v>2.8000000000000001E-2</c:v>
                </c:pt>
                <c:pt idx="21">
                  <c:v>2.8000000000000001E-2</c:v>
                </c:pt>
                <c:pt idx="22">
                  <c:v>0.03</c:v>
                </c:pt>
                <c:pt idx="23">
                  <c:v>3.1E-2</c:v>
                </c:pt>
                <c:pt idx="24">
                  <c:v>3.2000000000000001E-2</c:v>
                </c:pt>
                <c:pt idx="25">
                  <c:v>3.3000000000000002E-2</c:v>
                </c:pt>
                <c:pt idx="26">
                  <c:v>3.3000000000000002E-2</c:v>
                </c:pt>
                <c:pt idx="27">
                  <c:v>3.3000000000000002E-2</c:v>
                </c:pt>
                <c:pt idx="28">
                  <c:v>3.3000000000000002E-2</c:v>
                </c:pt>
                <c:pt idx="29">
                  <c:v>3.4000000000000002E-2</c:v>
                </c:pt>
                <c:pt idx="30">
                  <c:v>3.6999999999999998E-2</c:v>
                </c:pt>
                <c:pt idx="31">
                  <c:v>3.6999999999999998E-2</c:v>
                </c:pt>
                <c:pt idx="32">
                  <c:v>3.9E-2</c:v>
                </c:pt>
                <c:pt idx="3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8-EC41-9944-43CB01B97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0888192"/>
        <c:axId val="1463247584"/>
      </c:barChart>
      <c:catAx>
        <c:axId val="120088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247584"/>
        <c:crosses val="autoZero"/>
        <c:auto val="1"/>
        <c:lblAlgn val="ctr"/>
        <c:lblOffset val="100"/>
        <c:noMultiLvlLbl val="0"/>
      </c:catAx>
      <c:valAx>
        <c:axId val="146324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88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DISTRIBUTION OF FREE AGENT OVERALL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'Overall Rating Distribution'!$E$1</c:f>
              <c:strCache>
                <c:ptCount val="1"/>
                <c:pt idx="0">
                  <c:v>Probability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'Overall Rating Distribution'!$D$2:$D$26</c:f>
              <c:numCache>
                <c:formatCode>General</c:formatCode>
                <c:ptCount val="25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  <c:pt idx="11">
                  <c:v>66</c:v>
                </c:pt>
                <c:pt idx="12">
                  <c:v>67</c:v>
                </c:pt>
                <c:pt idx="13">
                  <c:v>68</c:v>
                </c:pt>
                <c:pt idx="14">
                  <c:v>69</c:v>
                </c:pt>
                <c:pt idx="15">
                  <c:v>70</c:v>
                </c:pt>
                <c:pt idx="16">
                  <c:v>71</c:v>
                </c:pt>
                <c:pt idx="17">
                  <c:v>72</c:v>
                </c:pt>
                <c:pt idx="18">
                  <c:v>73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77</c:v>
                </c:pt>
                <c:pt idx="23">
                  <c:v>78</c:v>
                </c:pt>
                <c:pt idx="24">
                  <c:v>79</c:v>
                </c:pt>
              </c:numCache>
            </c:numRef>
          </c:cat>
          <c:val>
            <c:numRef>
              <c:f>'Overall Rating Distribution'!$E$2:$E$26</c:f>
              <c:numCache>
                <c:formatCode>General</c:formatCode>
                <c:ptCount val="25"/>
                <c:pt idx="0">
                  <c:v>4.4789060589685804E-3</c:v>
                </c:pt>
                <c:pt idx="1">
                  <c:v>7.0949185692462842E-3</c:v>
                </c:pt>
                <c:pt idx="2">
                  <c:v>1.0798193302637612E-2</c:v>
                </c:pt>
                <c:pt idx="3">
                  <c:v>1.5790031660178828E-2</c:v>
                </c:pt>
                <c:pt idx="4">
                  <c:v>2.2184166935891109E-2</c:v>
                </c:pt>
                <c:pt idx="5">
                  <c:v>2.9945493127148972E-2</c:v>
                </c:pt>
                <c:pt idx="6">
                  <c:v>3.8837210996642592E-2</c:v>
                </c:pt>
                <c:pt idx="7">
                  <c:v>4.8394144903828672E-2</c:v>
                </c:pt>
                <c:pt idx="8">
                  <c:v>5.7938310552296549E-2</c:v>
                </c:pt>
                <c:pt idx="9">
                  <c:v>6.6644920578359926E-2</c:v>
                </c:pt>
                <c:pt idx="10">
                  <c:v>7.3654028060664664E-2</c:v>
                </c:pt>
                <c:pt idx="11">
                  <c:v>7.8208538795091181E-2</c:v>
                </c:pt>
                <c:pt idx="12">
                  <c:v>7.9788456080286549E-2</c:v>
                </c:pt>
                <c:pt idx="13">
                  <c:v>7.8208538795091181E-2</c:v>
                </c:pt>
                <c:pt idx="14">
                  <c:v>7.3654028060664664E-2</c:v>
                </c:pt>
                <c:pt idx="15">
                  <c:v>6.6644920578359926E-2</c:v>
                </c:pt>
                <c:pt idx="16">
                  <c:v>5.7938310552296549E-2</c:v>
                </c:pt>
                <c:pt idx="17">
                  <c:v>4.8394144903828672E-2</c:v>
                </c:pt>
                <c:pt idx="18">
                  <c:v>3.8837210996642592E-2</c:v>
                </c:pt>
                <c:pt idx="19">
                  <c:v>2.9945493127148972E-2</c:v>
                </c:pt>
                <c:pt idx="20">
                  <c:v>2.2184166935891109E-2</c:v>
                </c:pt>
                <c:pt idx="21">
                  <c:v>1.5790031660178828E-2</c:v>
                </c:pt>
                <c:pt idx="22">
                  <c:v>1.0798193302637612E-2</c:v>
                </c:pt>
                <c:pt idx="23">
                  <c:v>7.0949185692462842E-3</c:v>
                </c:pt>
                <c:pt idx="24">
                  <c:v>4.4789060589685804E-3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3-AF44-A7EC-C2251820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119634943"/>
        <c:axId val="2102943487"/>
      </c:lineChart>
      <c:catAx>
        <c:axId val="21196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43487"/>
        <c:crosses val="autoZero"/>
        <c:auto val="1"/>
        <c:lblAlgn val="ctr"/>
        <c:lblOffset val="100"/>
        <c:noMultiLvlLbl val="0"/>
      </c:catAx>
      <c:valAx>
        <c:axId val="2102943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63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distribution</a:t>
            </a:r>
            <a:r>
              <a:rPr lang="en-US" baseline="0"/>
              <a:t> of rookie overall ratings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'Overall Rating Distribution'!$H$1</c:f>
              <c:strCache>
                <c:ptCount val="1"/>
                <c:pt idx="0">
                  <c:v>Probability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'Overall Rating Distribution'!$G$2:$G$37</c:f>
              <c:numCache>
                <c:formatCode>General</c:formatCode>
                <c:ptCount val="36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</c:numCache>
            </c:numRef>
          </c:cat>
          <c:val>
            <c:numRef>
              <c:f>'Overall Rating Distribution'!$H$2:$H$37</c:f>
              <c:numCache>
                <c:formatCode>General</c:formatCode>
                <c:ptCount val="36"/>
                <c:pt idx="0">
                  <c:v>2.4644383369460396E-4</c:v>
                </c:pt>
                <c:pt idx="1">
                  <c:v>4.768176402929681E-4</c:v>
                </c:pt>
                <c:pt idx="2">
                  <c:v>8.8636968238760153E-4</c:v>
                </c:pt>
                <c:pt idx="3">
                  <c:v>1.5830903165959939E-3</c:v>
                </c:pt>
                <c:pt idx="4">
                  <c:v>2.7165938467371225E-3</c:v>
                </c:pt>
                <c:pt idx="5">
                  <c:v>4.4789060589685804E-3</c:v>
                </c:pt>
                <c:pt idx="6">
                  <c:v>7.0949185692462842E-3</c:v>
                </c:pt>
                <c:pt idx="7">
                  <c:v>1.0798193302637612E-2</c:v>
                </c:pt>
                <c:pt idx="8">
                  <c:v>1.5790031660178828E-2</c:v>
                </c:pt>
                <c:pt idx="9">
                  <c:v>2.2184166935891109E-2</c:v>
                </c:pt>
                <c:pt idx="10">
                  <c:v>2.9945493127148972E-2</c:v>
                </c:pt>
                <c:pt idx="11">
                  <c:v>3.8837210996642592E-2</c:v>
                </c:pt>
                <c:pt idx="12">
                  <c:v>4.8394144903828672E-2</c:v>
                </c:pt>
                <c:pt idx="13">
                  <c:v>5.7938310552296549E-2</c:v>
                </c:pt>
                <c:pt idx="14">
                  <c:v>6.6644920578359926E-2</c:v>
                </c:pt>
                <c:pt idx="15">
                  <c:v>7.3654028060664664E-2</c:v>
                </c:pt>
                <c:pt idx="16">
                  <c:v>7.8208538795091181E-2</c:v>
                </c:pt>
                <c:pt idx="17">
                  <c:v>7.9788456080286549E-2</c:v>
                </c:pt>
                <c:pt idx="18">
                  <c:v>7.8208538795091181E-2</c:v>
                </c:pt>
                <c:pt idx="19">
                  <c:v>7.3654028060664664E-2</c:v>
                </c:pt>
                <c:pt idx="20">
                  <c:v>6.6644920578359926E-2</c:v>
                </c:pt>
                <c:pt idx="21">
                  <c:v>5.7938310552296549E-2</c:v>
                </c:pt>
                <c:pt idx="22">
                  <c:v>4.8394144903828672E-2</c:v>
                </c:pt>
                <c:pt idx="23">
                  <c:v>3.8837210996642592E-2</c:v>
                </c:pt>
                <c:pt idx="24">
                  <c:v>2.9945493127148972E-2</c:v>
                </c:pt>
                <c:pt idx="25">
                  <c:v>2.2184166935891109E-2</c:v>
                </c:pt>
                <c:pt idx="26">
                  <c:v>1.5790031660178828E-2</c:v>
                </c:pt>
                <c:pt idx="27">
                  <c:v>1.0798193302637612E-2</c:v>
                </c:pt>
                <c:pt idx="28">
                  <c:v>7.0949185692462842E-3</c:v>
                </c:pt>
                <c:pt idx="29">
                  <c:v>4.4789060589685804E-3</c:v>
                </c:pt>
                <c:pt idx="30">
                  <c:v>2.7165938467371225E-3</c:v>
                </c:pt>
                <c:pt idx="31">
                  <c:v>1.5830903165959939E-3</c:v>
                </c:pt>
                <c:pt idx="32">
                  <c:v>8.8636968238760153E-4</c:v>
                </c:pt>
                <c:pt idx="33">
                  <c:v>4.768176402929681E-4</c:v>
                </c:pt>
                <c:pt idx="34">
                  <c:v>2.4644383369460396E-4</c:v>
                </c:pt>
                <c:pt idx="35">
                  <c:v>1.2238038602275437E-4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F-8947-BD94-EF5975B87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73048175"/>
        <c:axId val="156846352"/>
      </c:lineChart>
      <c:catAx>
        <c:axId val="14730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6352"/>
        <c:crosses val="autoZero"/>
        <c:auto val="1"/>
        <c:lblAlgn val="ctr"/>
        <c:lblOffset val="100"/>
        <c:noMultiLvlLbl val="0"/>
      </c:catAx>
      <c:valAx>
        <c:axId val="156846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04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Probability</a:t>
            </a:r>
            <a:r>
              <a:rPr lang="en-GB" baseline="0"/>
              <a:t> distribution of player overall ratings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'Overall Rating Distribution'!$B$1</c:f>
              <c:strCache>
                <c:ptCount val="1"/>
                <c:pt idx="0">
                  <c:v>Probability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'Overall Rating Distribution'!$A$2:$A$46</c:f>
              <c:numCache>
                <c:formatCode>General</c:formatCode>
                <c:ptCount val="45"/>
                <c:pt idx="0">
                  <c:v>55</c:v>
                </c:pt>
                <c:pt idx="1">
                  <c:v>56</c:v>
                </c:pt>
                <c:pt idx="2">
                  <c:v>57</c:v>
                </c:pt>
                <c:pt idx="3">
                  <c:v>58</c:v>
                </c:pt>
                <c:pt idx="4">
                  <c:v>59</c:v>
                </c:pt>
                <c:pt idx="5">
                  <c:v>60</c:v>
                </c:pt>
                <c:pt idx="6">
                  <c:v>61</c:v>
                </c:pt>
                <c:pt idx="7">
                  <c:v>62</c:v>
                </c:pt>
                <c:pt idx="8">
                  <c:v>63</c:v>
                </c:pt>
                <c:pt idx="9">
                  <c:v>64</c:v>
                </c:pt>
                <c:pt idx="10">
                  <c:v>65</c:v>
                </c:pt>
                <c:pt idx="11">
                  <c:v>66</c:v>
                </c:pt>
                <c:pt idx="12">
                  <c:v>67</c:v>
                </c:pt>
                <c:pt idx="13">
                  <c:v>68</c:v>
                </c:pt>
                <c:pt idx="14">
                  <c:v>69</c:v>
                </c:pt>
                <c:pt idx="15">
                  <c:v>70</c:v>
                </c:pt>
                <c:pt idx="16">
                  <c:v>71</c:v>
                </c:pt>
                <c:pt idx="17">
                  <c:v>72</c:v>
                </c:pt>
                <c:pt idx="18">
                  <c:v>73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77</c:v>
                </c:pt>
                <c:pt idx="23">
                  <c:v>78</c:v>
                </c:pt>
                <c:pt idx="24">
                  <c:v>79</c:v>
                </c:pt>
                <c:pt idx="25">
                  <c:v>80</c:v>
                </c:pt>
                <c:pt idx="26">
                  <c:v>81</c:v>
                </c:pt>
                <c:pt idx="27">
                  <c:v>82</c:v>
                </c:pt>
                <c:pt idx="28">
                  <c:v>83</c:v>
                </c:pt>
                <c:pt idx="29">
                  <c:v>84</c:v>
                </c:pt>
                <c:pt idx="30">
                  <c:v>85</c:v>
                </c:pt>
                <c:pt idx="31">
                  <c:v>86</c:v>
                </c:pt>
                <c:pt idx="32">
                  <c:v>87</c:v>
                </c:pt>
                <c:pt idx="33">
                  <c:v>88</c:v>
                </c:pt>
                <c:pt idx="34">
                  <c:v>89</c:v>
                </c:pt>
                <c:pt idx="35">
                  <c:v>90</c:v>
                </c:pt>
                <c:pt idx="36">
                  <c:v>91</c:v>
                </c:pt>
                <c:pt idx="37">
                  <c:v>92</c:v>
                </c:pt>
                <c:pt idx="38">
                  <c:v>93</c:v>
                </c:pt>
                <c:pt idx="39">
                  <c:v>94</c:v>
                </c:pt>
                <c:pt idx="40">
                  <c:v>95</c:v>
                </c:pt>
                <c:pt idx="41">
                  <c:v>96</c:v>
                </c:pt>
                <c:pt idx="42">
                  <c:v>97</c:v>
                </c:pt>
                <c:pt idx="43">
                  <c:v>98</c:v>
                </c:pt>
                <c:pt idx="44">
                  <c:v>99</c:v>
                </c:pt>
              </c:numCache>
            </c:numRef>
          </c:cat>
          <c:val>
            <c:numRef>
              <c:f>'Overall Rating Distribution'!$B$2:$B$46</c:f>
              <c:numCache>
                <c:formatCode>General</c:formatCode>
                <c:ptCount val="45"/>
                <c:pt idx="0">
                  <c:v>1.7759691792987539E-3</c:v>
                </c:pt>
                <c:pt idx="1">
                  <c:v>2.4675806526138675E-3</c:v>
                </c:pt>
                <c:pt idx="2">
                  <c:v>3.3711833139078583E-3</c:v>
                </c:pt>
                <c:pt idx="3">
                  <c:v>4.5286469145805986E-3</c:v>
                </c:pt>
                <c:pt idx="4">
                  <c:v>5.9817689542108815E-3</c:v>
                </c:pt>
                <c:pt idx="5">
                  <c:v>7.7690137107048222E-3</c:v>
                </c:pt>
                <c:pt idx="6">
                  <c:v>9.9214973746839935E-3</c:v>
                </c:pt>
                <c:pt idx="7">
                  <c:v>1.2458439172683574E-2</c:v>
                </c:pt>
                <c:pt idx="8">
                  <c:v>1.5382436497270707E-2</c:v>
                </c:pt>
                <c:pt idx="9">
                  <c:v>1.8675047110242628E-2</c:v>
                </c:pt>
                <c:pt idx="10">
                  <c:v>2.2293248734424131E-2</c:v>
                </c:pt>
                <c:pt idx="11">
                  <c:v>2.6167371349249728E-2</c:v>
                </c:pt>
                <c:pt idx="12">
                  <c:v>3.0201041081328678E-2</c:v>
                </c:pt>
                <c:pt idx="13">
                  <c:v>3.4273527953731169E-2</c:v>
                </c:pt>
                <c:pt idx="14">
                  <c:v>3.8244658579202548E-2</c:v>
                </c:pt>
                <c:pt idx="15">
                  <c:v>4.1962161015941198E-2</c:v>
                </c:pt>
                <c:pt idx="16">
                  <c:v>4.5270989178871436E-2</c:v>
                </c:pt>
                <c:pt idx="17">
                  <c:v>4.8023875287697873E-2</c:v>
                </c:pt>
                <c:pt idx="18">
                  <c:v>5.0092130287010504E-2</c:v>
                </c:pt>
                <c:pt idx="19">
                  <c:v>5.1375596918556629E-2</c:v>
                </c:pt>
                <c:pt idx="20">
                  <c:v>5.1810685766419826E-2</c:v>
                </c:pt>
                <c:pt idx="21">
                  <c:v>5.1375596918556629E-2</c:v>
                </c:pt>
                <c:pt idx="22">
                  <c:v>5.0092130287010504E-2</c:v>
                </c:pt>
                <c:pt idx="23">
                  <c:v>4.8023875287697873E-2</c:v>
                </c:pt>
                <c:pt idx="24">
                  <c:v>4.5270989178871436E-2</c:v>
                </c:pt>
                <c:pt idx="25">
                  <c:v>4.1962161015941198E-2</c:v>
                </c:pt>
                <c:pt idx="26">
                  <c:v>3.8244658579202548E-2</c:v>
                </c:pt>
                <c:pt idx="27">
                  <c:v>3.4273527953731169E-2</c:v>
                </c:pt>
                <c:pt idx="28">
                  <c:v>3.0201041081328678E-2</c:v>
                </c:pt>
                <c:pt idx="29">
                  <c:v>2.6167371349249728E-2</c:v>
                </c:pt>
                <c:pt idx="30">
                  <c:v>2.2293248734424131E-2</c:v>
                </c:pt>
                <c:pt idx="31">
                  <c:v>1.8675047110242628E-2</c:v>
                </c:pt>
                <c:pt idx="32">
                  <c:v>1.5382436497270707E-2</c:v>
                </c:pt>
                <c:pt idx="33">
                  <c:v>1.2458439172683574E-2</c:v>
                </c:pt>
                <c:pt idx="34">
                  <c:v>9.9214973746839935E-3</c:v>
                </c:pt>
                <c:pt idx="35">
                  <c:v>7.7690137107048222E-3</c:v>
                </c:pt>
                <c:pt idx="36">
                  <c:v>5.9817689542108815E-3</c:v>
                </c:pt>
                <c:pt idx="37">
                  <c:v>4.5286469145805986E-3</c:v>
                </c:pt>
                <c:pt idx="38">
                  <c:v>3.3711833139078583E-3</c:v>
                </c:pt>
                <c:pt idx="39">
                  <c:v>2.4675806526138675E-3</c:v>
                </c:pt>
                <c:pt idx="40">
                  <c:v>1.7759691792987539E-3</c:v>
                </c:pt>
                <c:pt idx="41">
                  <c:v>1.2568243123974037E-3</c:v>
                </c:pt>
                <c:pt idx="42">
                  <c:v>8.745583734065251E-4</c:v>
                </c:pt>
                <c:pt idx="43">
                  <c:v>5.9838143609338367E-4</c:v>
                </c:pt>
                <c:pt idx="44">
                  <c:v>4.0257101406040519E-4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0-EC40-860D-CBE781CE6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119467967"/>
        <c:axId val="2119723087"/>
      </c:lineChart>
      <c:catAx>
        <c:axId val="211946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23087"/>
        <c:crosses val="autoZero"/>
        <c:auto val="1"/>
        <c:lblAlgn val="ctr"/>
        <c:lblOffset val="100"/>
        <c:noMultiLvlLbl val="0"/>
      </c:catAx>
      <c:valAx>
        <c:axId val="211972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46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</a:t>
            </a:r>
            <a:r>
              <a:rPr lang="en-GB" baseline="0"/>
              <a:t> of Player Positions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'Position Distribution'!$B$1</c:f>
              <c:strCache>
                <c:ptCount val="1"/>
                <c:pt idx="0">
                  <c:v>Probability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8-F14A-A39C-093C114876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8-F14A-A39C-093C114876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F8-F14A-A39C-093C114876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F8-F14A-A39C-093C114876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F8-F14A-A39C-093C1148768C}"/>
              </c:ext>
            </c:extLst>
          </c:dPt>
          <c:cat>
            <c:strRef>
              <c:f>'Position Distribution'!$A$2:$A$6</c:f>
              <c:strCache>
                <c:ptCount val="5"/>
                <c:pt idx="0">
                  <c:v>PG</c:v>
                </c:pt>
                <c:pt idx="1">
                  <c:v>SG</c:v>
                </c:pt>
                <c:pt idx="2">
                  <c:v>SF</c:v>
                </c:pt>
                <c:pt idx="3">
                  <c:v>PF</c:v>
                </c:pt>
                <c:pt idx="4">
                  <c:v>C</c:v>
                </c:pt>
              </c:strCache>
            </c:strRef>
          </c:cat>
          <c:val>
            <c:numRef>
              <c:f>'Position Distribution'!$B$2:$B$6</c:f>
              <c:numCache>
                <c:formatCode>General</c:formatCode>
                <c:ptCount val="5"/>
                <c:pt idx="0">
                  <c:v>0.17222222222222222</c:v>
                </c:pt>
                <c:pt idx="1">
                  <c:v>0.26111111111111113</c:v>
                </c:pt>
                <c:pt idx="2">
                  <c:v>0.18148148148148149</c:v>
                </c:pt>
                <c:pt idx="3">
                  <c:v>0.22407407407407406</c:v>
                </c:pt>
                <c:pt idx="4">
                  <c:v>0.16111111111111112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0-9045-96CC-31188B07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141654</xdr:colOff>
      <xdr:row>1</xdr:row>
      <xdr:rowOff>39076</xdr:rowOff>
    </xdr:from>
    <xdr:to>
      <xdr:col>12</xdr:col>
      <xdr:colOff>307731</xdr:colOff>
      <xdr:row>14</xdr:row>
      <xdr:rowOff>115276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9A1667-338A-1E47-B0F8-0FD7C9689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65454</xdr:colOff>
      <xdr:row>0</xdr:row>
      <xdr:rowOff>50800</xdr:rowOff>
    </xdr:from>
    <xdr:ext cx="65" cy="17209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F1C37F-B2F1-ED4B-8558-CF1AAC837E42}"/>
            </a:ext>
          </a:extLst>
        </xdr:cNvPr>
        <xdr:cNvSpPr txBox="1"/>
      </xdr:nvSpPr>
      <xdr:spPr>
        <a:xfrm>
          <a:off x="6180992" y="508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4</xdr:col>
      <xdr:colOff>319454</xdr:colOff>
      <xdr:row>13</xdr:row>
      <xdr:rowOff>50800</xdr:rowOff>
    </xdr:from>
    <xdr:ext cx="65" cy="17209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FFA6BBC-2E94-D04E-98AB-52061C17572A}"/>
            </a:ext>
          </a:extLst>
        </xdr:cNvPr>
        <xdr:cNvSpPr txBox="1"/>
      </xdr:nvSpPr>
      <xdr:spPr>
        <a:xfrm>
          <a:off x="6434992" y="2717800"/>
          <a:ext cx="65" cy="1720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234950</xdr:colOff>
      <xdr:row>0</xdr:row>
      <xdr:rowOff>82550</xdr:rowOff>
    </xdr:from>
    <xdr:to>
      <xdr:col>16</xdr:col>
      <xdr:colOff>177800</xdr:colOff>
      <xdr:row>17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5A4474-138B-2F49-88A1-05A138075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</xdr:colOff>
      <xdr:row>17</xdr:row>
      <xdr:rowOff>133350</xdr:rowOff>
    </xdr:from>
    <xdr:to>
      <xdr:col>16</xdr:col>
      <xdr:colOff>25400</xdr:colOff>
      <xdr:row>35</xdr:row>
      <xdr:rowOff>50800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B91307-C402-4340-84A0-5999ECC55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228600</xdr:colOff>
      <xdr:row>35</xdr:row>
      <xdr:rowOff>196850</xdr:rowOff>
    </xdr:from>
    <xdr:to>
      <xdr:col>18</xdr:col>
      <xdr:colOff>165100</xdr:colOff>
      <xdr:row>57</xdr:row>
      <xdr:rowOff>50800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4DEAC6-D0CE-3F4C-94D1-3AF928622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6</xdr:row>
      <xdr:rowOff>184150</xdr:rowOff>
    </xdr:from>
    <xdr:to>
      <xdr:col>5</xdr:col>
      <xdr:colOff>584200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3409B-9D48-794D-ADD1-4A1BC4283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82BB7-DC64-BA40-B2DC-A6E1617D30D8}" name="Table1" displayName="Table1" ref="A1:B36" totalsRowShown="0">
  <autoFilter ref="A1:B36" xr:uid="{1D468F8D-B90C-6545-8FD0-C3F89092E520}"/>
  <sortState xmlns:xlrd2="http://schemas.microsoft.com/office/spreadsheetml/2017/richdata2" ref="A2:B36">
    <sortCondition ref="B1:B36"/>
  </sortState>
  <tableColumns count="2">
    <tableColumn id="1" xr3:uid="{85181E53-39EC-4D45-A82F-5781199D0019}" name="Archetype" dataDxfId="3"/>
    <tableColumn id="2" xr3:uid="{0B2984B2-456F-6E4E-8E92-53CE1139B814}" name="Prob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B8B435-2656-5541-B5B6-921C277AF53E}" name="Table38" displayName="Table38" ref="D1:E26" totalsRowShown="0">
  <autoFilter ref="D1:E26" xr:uid="{32622927-3D58-294E-B711-058D96D8D176}"/>
  <tableColumns count="2">
    <tableColumn id="1" xr3:uid="{1AB301E0-D46B-EE4D-8EA7-8CF46CA44A11}" name="Overall"/>
    <tableColumn id="2" xr3:uid="{B3996E1F-B907-134A-ACF2-FB9B9DF3DDB7}" name="Probability" dataDxfId="2">
      <calculatedColumnFormula>_xlfn.NORM.DIST(D2,67,5,FALSE)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A8E9BBC-8D8A-BC4D-96EE-832F626584E3}" name="Table29" displayName="Table29" ref="A1:B46" totalsRowShown="0">
  <autoFilter ref="A1:B46" xr:uid="{91627969-822F-554F-9904-48177F18D22D}"/>
  <tableColumns count="2">
    <tableColumn id="1" xr3:uid="{F315F123-5D82-2A48-982A-4E698B00D698}" name="Overall"/>
    <tableColumn id="2" xr3:uid="{CECE5A6D-87CD-C64F-B00D-50803B0206D9}" name="Probability" dataDxfId="0">
      <calculatedColumnFormula>_xlfn.NORM.DIST(A2,75,7.7,FALSE)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BCA5A9F-6C74-4B4B-9C74-32960BF3D213}" name="Table310" displayName="Table310" ref="G1:H37" totalsRowShown="0">
  <autoFilter ref="G1:H37" xr:uid="{10F2E3B2-8D01-3A49-8B24-A75BDB154651}"/>
  <tableColumns count="2">
    <tableColumn id="1" xr3:uid="{DF5DAF76-6810-8B41-9A82-01B3B766E80C}" name="Overall"/>
    <tableColumn id="2" xr3:uid="{46B6A189-F0B3-FF4C-8ED5-D293D7ACE981}" name="Probability" dataDxfId="1">
      <calculatedColumnFormula>_xlfn.NORM.DIST(G2,67,5,FALSE)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2A19D5-A0FF-9844-90AB-240BB8A77307}" name="Table5" displayName="Table5" ref="A1:B6" totalsRowShown="0">
  <autoFilter ref="A1:B6" xr:uid="{2AAC92BF-F4DC-A340-9D47-66476CC06FB1}"/>
  <tableColumns count="2">
    <tableColumn id="1" xr3:uid="{62172502-FC37-EE4B-8BE2-F85BAE3CD31A}" name="Position"/>
    <tableColumn id="2" xr3:uid="{1C25634A-2D66-5643-AD45-D5E55D82D011}" name="Prob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8F46-6FF7-CB46-9C5A-C17F83806A70}">
  <dimension ref="A1:E36"/>
  <sheetViews>
    <sheetView tabSelected="1" zoomScale="130" zoomScaleNormal="130" workbookViewId="0">
      <selection activeCell="B2" sqref="B2"/>
    </sheetView>
  </sheetViews>
  <sheetFormatPr baseColWidth="10" defaultRowHeight="16" x14ac:dyDescent="0.2"/>
  <cols>
    <col min="1" max="1" width="40.83203125" customWidth="1"/>
    <col min="2" max="2" width="17.5" customWidth="1"/>
    <col min="3" max="3" width="2.5" customWidth="1"/>
    <col min="4" max="4" width="2" customWidth="1"/>
    <col min="5" max="6" width="1.6640625" customWidth="1"/>
    <col min="7" max="7" width="0.33203125" customWidth="1"/>
    <col min="9" max="9" width="12.5" customWidth="1"/>
    <col min="12" max="12" width="12.5" customWidth="1"/>
    <col min="15" max="15" width="12.5" customWidth="1"/>
  </cols>
  <sheetData>
    <row r="1" spans="1:5" x14ac:dyDescent="0.2">
      <c r="A1" s="2" t="s">
        <v>0</v>
      </c>
      <c r="B1" t="s">
        <v>1</v>
      </c>
      <c r="E1" s="1"/>
    </row>
    <row r="2" spans="1:5" x14ac:dyDescent="0.2">
      <c r="A2" s="2" t="s">
        <v>2</v>
      </c>
      <c r="B2">
        <v>5.0000000000000001E-3</v>
      </c>
      <c r="E2" s="1"/>
    </row>
    <row r="3" spans="1:5" x14ac:dyDescent="0.2">
      <c r="A3" s="2" t="s">
        <v>4</v>
      </c>
      <c r="B3">
        <v>7.4999999999999997E-3</v>
      </c>
      <c r="E3" s="1"/>
    </row>
    <row r="4" spans="1:5" x14ac:dyDescent="0.2">
      <c r="A4" s="2" t="s">
        <v>28</v>
      </c>
      <c r="B4">
        <v>1.7999999999999999E-2</v>
      </c>
      <c r="E4" s="1"/>
    </row>
    <row r="5" spans="1:5" x14ac:dyDescent="0.2">
      <c r="A5" s="2" t="s">
        <v>3</v>
      </c>
      <c r="B5">
        <v>1.9E-2</v>
      </c>
      <c r="E5" s="1"/>
    </row>
    <row r="6" spans="1:5" x14ac:dyDescent="0.2">
      <c r="A6" s="2" t="s">
        <v>27</v>
      </c>
      <c r="B6">
        <v>1.9E-2</v>
      </c>
      <c r="E6" s="1"/>
    </row>
    <row r="7" spans="1:5" x14ac:dyDescent="0.2">
      <c r="A7" s="2" t="s">
        <v>29</v>
      </c>
      <c r="B7">
        <v>1.9E-2</v>
      </c>
      <c r="E7" s="1"/>
    </row>
    <row r="8" spans="1:5" x14ac:dyDescent="0.2">
      <c r="A8" s="2" t="s">
        <v>23</v>
      </c>
      <c r="B8">
        <v>0.02</v>
      </c>
    </row>
    <row r="9" spans="1:5" x14ac:dyDescent="0.2">
      <c r="A9" s="2" t="s">
        <v>6</v>
      </c>
      <c r="B9">
        <v>2.1000000000000001E-2</v>
      </c>
    </row>
    <row r="10" spans="1:5" x14ac:dyDescent="0.2">
      <c r="A10" s="2" t="s">
        <v>31</v>
      </c>
      <c r="B10">
        <v>2.1000000000000001E-2</v>
      </c>
    </row>
    <row r="11" spans="1:5" x14ac:dyDescent="0.2">
      <c r="A11" s="2" t="s">
        <v>35</v>
      </c>
      <c r="B11">
        <v>2.1000000000000001E-2</v>
      </c>
    </row>
    <row r="12" spans="1:5" x14ac:dyDescent="0.2">
      <c r="A12" s="2" t="s">
        <v>12</v>
      </c>
      <c r="B12">
        <v>2.1999999999999999E-2</v>
      </c>
    </row>
    <row r="13" spans="1:5" x14ac:dyDescent="0.2">
      <c r="A13" s="2" t="s">
        <v>22</v>
      </c>
      <c r="B13">
        <v>2.1999999999999999E-2</v>
      </c>
    </row>
    <row r="14" spans="1:5" x14ac:dyDescent="0.2">
      <c r="A14" s="2" t="s">
        <v>5</v>
      </c>
      <c r="B14">
        <v>2.3E-2</v>
      </c>
    </row>
    <row r="15" spans="1:5" x14ac:dyDescent="0.2">
      <c r="A15" s="2" t="s">
        <v>21</v>
      </c>
      <c r="B15">
        <v>2.3E-2</v>
      </c>
    </row>
    <row r="16" spans="1:5" x14ac:dyDescent="0.2">
      <c r="A16" s="2" t="s">
        <v>16</v>
      </c>
      <c r="B16">
        <v>2.4E-2</v>
      </c>
    </row>
    <row r="17" spans="1:2" x14ac:dyDescent="0.2">
      <c r="A17" s="2" t="s">
        <v>36</v>
      </c>
      <c r="B17">
        <v>2.4E-2</v>
      </c>
    </row>
    <row r="18" spans="1:2" x14ac:dyDescent="0.2">
      <c r="A18" s="2" t="s">
        <v>9</v>
      </c>
      <c r="B18">
        <v>2.5000000000000001E-2</v>
      </c>
    </row>
    <row r="19" spans="1:2" x14ac:dyDescent="0.2">
      <c r="A19" s="2" t="s">
        <v>13</v>
      </c>
      <c r="B19">
        <v>2.5999999999999999E-2</v>
      </c>
    </row>
    <row r="20" spans="1:2" x14ac:dyDescent="0.2">
      <c r="A20" s="2" t="s">
        <v>33</v>
      </c>
      <c r="B20">
        <v>2.5999999999999999E-2</v>
      </c>
    </row>
    <row r="21" spans="1:2" x14ac:dyDescent="0.2">
      <c r="A21" s="2" t="s">
        <v>20</v>
      </c>
      <c r="B21">
        <v>2.7E-2</v>
      </c>
    </row>
    <row r="22" spans="1:2" x14ac:dyDescent="0.2">
      <c r="A22" s="2" t="s">
        <v>14</v>
      </c>
      <c r="B22">
        <v>2.8000000000000001E-2</v>
      </c>
    </row>
    <row r="23" spans="1:2" x14ac:dyDescent="0.2">
      <c r="A23" s="2" t="s">
        <v>24</v>
      </c>
      <c r="B23">
        <v>2.8000000000000001E-2</v>
      </c>
    </row>
    <row r="24" spans="1:2" x14ac:dyDescent="0.2">
      <c r="A24" s="2" t="s">
        <v>25</v>
      </c>
      <c r="B24">
        <v>0.03</v>
      </c>
    </row>
    <row r="25" spans="1:2" x14ac:dyDescent="0.2">
      <c r="A25" s="2" t="s">
        <v>26</v>
      </c>
      <c r="B25">
        <v>3.1E-2</v>
      </c>
    </row>
    <row r="26" spans="1:2" x14ac:dyDescent="0.2">
      <c r="A26" s="2" t="s">
        <v>10</v>
      </c>
      <c r="B26">
        <v>3.2000000000000001E-2</v>
      </c>
    </row>
    <row r="27" spans="1:2" x14ac:dyDescent="0.2">
      <c r="A27" s="2" t="s">
        <v>11</v>
      </c>
      <c r="B27">
        <v>3.3000000000000002E-2</v>
      </c>
    </row>
    <row r="28" spans="1:2" x14ac:dyDescent="0.2">
      <c r="A28" s="2" t="s">
        <v>15</v>
      </c>
      <c r="B28">
        <v>3.3000000000000002E-2</v>
      </c>
    </row>
    <row r="29" spans="1:2" x14ac:dyDescent="0.2">
      <c r="A29" s="2" t="s">
        <v>17</v>
      </c>
      <c r="B29">
        <v>3.3000000000000002E-2</v>
      </c>
    </row>
    <row r="30" spans="1:2" x14ac:dyDescent="0.2">
      <c r="A30" s="2" t="s">
        <v>34</v>
      </c>
      <c r="B30">
        <v>3.3000000000000002E-2</v>
      </c>
    </row>
    <row r="31" spans="1:2" x14ac:dyDescent="0.2">
      <c r="A31" s="2" t="s">
        <v>7</v>
      </c>
      <c r="B31">
        <v>3.4000000000000002E-2</v>
      </c>
    </row>
    <row r="32" spans="1:2" x14ac:dyDescent="0.2">
      <c r="A32" s="2" t="s">
        <v>8</v>
      </c>
      <c r="B32">
        <v>3.6999999999999998E-2</v>
      </c>
    </row>
    <row r="33" spans="1:2" x14ac:dyDescent="0.2">
      <c r="A33" s="2" t="s">
        <v>32</v>
      </c>
      <c r="B33">
        <v>3.6999999999999998E-2</v>
      </c>
    </row>
    <row r="34" spans="1:2" x14ac:dyDescent="0.2">
      <c r="A34" s="2" t="s">
        <v>30</v>
      </c>
      <c r="B34">
        <v>3.9E-2</v>
      </c>
    </row>
    <row r="35" spans="1:2" x14ac:dyDescent="0.2">
      <c r="A35" s="2" t="s">
        <v>18</v>
      </c>
      <c r="B35">
        <v>0.04</v>
      </c>
    </row>
    <row r="36" spans="1:2" x14ac:dyDescent="0.2">
      <c r="A36" s="2" t="s">
        <v>19</v>
      </c>
      <c r="B36">
        <v>4.2000000000000003E-2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84E4-7552-884B-90A9-83370607E9E9}">
  <dimension ref="A1:H46"/>
  <sheetViews>
    <sheetView topLeftCell="A7" zoomScaleNormal="100" workbookViewId="0">
      <selection activeCell="B3" sqref="B3"/>
    </sheetView>
  </sheetViews>
  <sheetFormatPr baseColWidth="10" defaultRowHeight="16" x14ac:dyDescent="0.2"/>
  <sheetData>
    <row r="1" spans="1:8" x14ac:dyDescent="0.2">
      <c r="A1" t="s">
        <v>37</v>
      </c>
      <c r="B1" t="s">
        <v>1</v>
      </c>
      <c r="D1" t="s">
        <v>37</v>
      </c>
      <c r="E1" t="s">
        <v>1</v>
      </c>
      <c r="G1" t="s">
        <v>37</v>
      </c>
      <c r="H1" t="s">
        <v>1</v>
      </c>
    </row>
    <row r="2" spans="1:8" x14ac:dyDescent="0.2">
      <c r="A2">
        <v>55</v>
      </c>
      <c r="B2">
        <f t="shared" ref="B2:B46" si="0">_xlfn.NORM.DIST(A2,75,7.7,FALSE)</f>
        <v>1.7759691792987539E-3</v>
      </c>
      <c r="D2">
        <v>55</v>
      </c>
      <c r="E2">
        <f t="shared" ref="E2:E26" si="1">_xlfn.NORM.DIST(D2,67,5,FALSE)</f>
        <v>4.4789060589685804E-3</v>
      </c>
      <c r="G2">
        <v>50</v>
      </c>
      <c r="H2">
        <f t="shared" ref="H2:H26" si="2">_xlfn.NORM.DIST(G2,67,5,FALSE)</f>
        <v>2.4644383369460396E-4</v>
      </c>
    </row>
    <row r="3" spans="1:8" x14ac:dyDescent="0.2">
      <c r="A3">
        <v>56</v>
      </c>
      <c r="B3">
        <f t="shared" si="0"/>
        <v>2.4675806526138675E-3</v>
      </c>
      <c r="D3">
        <v>56</v>
      </c>
      <c r="E3">
        <f t="shared" si="1"/>
        <v>7.0949185692462842E-3</v>
      </c>
      <c r="G3">
        <v>51</v>
      </c>
      <c r="H3">
        <f t="shared" si="2"/>
        <v>4.768176402929681E-4</v>
      </c>
    </row>
    <row r="4" spans="1:8" x14ac:dyDescent="0.2">
      <c r="A4">
        <v>57</v>
      </c>
      <c r="B4">
        <f t="shared" si="0"/>
        <v>3.3711833139078583E-3</v>
      </c>
      <c r="D4">
        <v>57</v>
      </c>
      <c r="E4">
        <f t="shared" si="1"/>
        <v>1.0798193302637612E-2</v>
      </c>
      <c r="G4">
        <v>52</v>
      </c>
      <c r="H4">
        <f t="shared" si="2"/>
        <v>8.8636968238760153E-4</v>
      </c>
    </row>
    <row r="5" spans="1:8" x14ac:dyDescent="0.2">
      <c r="A5">
        <v>58</v>
      </c>
      <c r="B5">
        <f t="shared" si="0"/>
        <v>4.5286469145805986E-3</v>
      </c>
      <c r="D5">
        <v>58</v>
      </c>
      <c r="E5">
        <f t="shared" si="1"/>
        <v>1.5790031660178828E-2</v>
      </c>
      <c r="G5">
        <v>53</v>
      </c>
      <c r="H5">
        <f t="shared" si="2"/>
        <v>1.5830903165959939E-3</v>
      </c>
    </row>
    <row r="6" spans="1:8" x14ac:dyDescent="0.2">
      <c r="A6">
        <v>59</v>
      </c>
      <c r="B6">
        <f t="shared" si="0"/>
        <v>5.9817689542108815E-3</v>
      </c>
      <c r="D6">
        <v>59</v>
      </c>
      <c r="E6">
        <f t="shared" si="1"/>
        <v>2.2184166935891109E-2</v>
      </c>
      <c r="G6">
        <v>54</v>
      </c>
      <c r="H6">
        <f t="shared" si="2"/>
        <v>2.7165938467371225E-3</v>
      </c>
    </row>
    <row r="7" spans="1:8" x14ac:dyDescent="0.2">
      <c r="A7">
        <v>60</v>
      </c>
      <c r="B7">
        <f t="shared" si="0"/>
        <v>7.7690137107048222E-3</v>
      </c>
      <c r="D7">
        <v>60</v>
      </c>
      <c r="E7">
        <f t="shared" si="1"/>
        <v>2.9945493127148972E-2</v>
      </c>
      <c r="G7">
        <v>55</v>
      </c>
      <c r="H7">
        <f t="shared" si="2"/>
        <v>4.4789060589685804E-3</v>
      </c>
    </row>
    <row r="8" spans="1:8" x14ac:dyDescent="0.2">
      <c r="A8">
        <v>61</v>
      </c>
      <c r="B8">
        <f t="shared" si="0"/>
        <v>9.9214973746839935E-3</v>
      </c>
      <c r="D8">
        <v>61</v>
      </c>
      <c r="E8">
        <f t="shared" si="1"/>
        <v>3.8837210996642592E-2</v>
      </c>
      <c r="G8">
        <v>56</v>
      </c>
      <c r="H8">
        <f t="shared" si="2"/>
        <v>7.0949185692462842E-3</v>
      </c>
    </row>
    <row r="9" spans="1:8" x14ac:dyDescent="0.2">
      <c r="A9">
        <v>62</v>
      </c>
      <c r="B9">
        <f t="shared" si="0"/>
        <v>1.2458439172683574E-2</v>
      </c>
      <c r="D9">
        <v>62</v>
      </c>
      <c r="E9">
        <f t="shared" si="1"/>
        <v>4.8394144903828672E-2</v>
      </c>
      <c r="G9">
        <v>57</v>
      </c>
      <c r="H9">
        <f t="shared" si="2"/>
        <v>1.0798193302637612E-2</v>
      </c>
    </row>
    <row r="10" spans="1:8" x14ac:dyDescent="0.2">
      <c r="A10">
        <v>63</v>
      </c>
      <c r="B10">
        <f t="shared" si="0"/>
        <v>1.5382436497270707E-2</v>
      </c>
      <c r="D10">
        <v>63</v>
      </c>
      <c r="E10">
        <f t="shared" si="1"/>
        <v>5.7938310552296549E-2</v>
      </c>
      <c r="G10">
        <v>58</v>
      </c>
      <c r="H10">
        <f t="shared" si="2"/>
        <v>1.5790031660178828E-2</v>
      </c>
    </row>
    <row r="11" spans="1:8" x14ac:dyDescent="0.2">
      <c r="A11">
        <v>64</v>
      </c>
      <c r="B11">
        <f t="shared" si="0"/>
        <v>1.8675047110242628E-2</v>
      </c>
      <c r="D11">
        <v>64</v>
      </c>
      <c r="E11">
        <f t="shared" si="1"/>
        <v>6.6644920578359926E-2</v>
      </c>
      <c r="G11">
        <v>59</v>
      </c>
      <c r="H11">
        <f t="shared" si="2"/>
        <v>2.2184166935891109E-2</v>
      </c>
    </row>
    <row r="12" spans="1:8" x14ac:dyDescent="0.2">
      <c r="A12">
        <v>65</v>
      </c>
      <c r="B12">
        <f t="shared" si="0"/>
        <v>2.2293248734424131E-2</v>
      </c>
      <c r="D12">
        <v>65</v>
      </c>
      <c r="E12">
        <f t="shared" si="1"/>
        <v>7.3654028060664664E-2</v>
      </c>
      <c r="G12">
        <v>60</v>
      </c>
      <c r="H12">
        <f t="shared" si="2"/>
        <v>2.9945493127148972E-2</v>
      </c>
    </row>
    <row r="13" spans="1:8" x14ac:dyDescent="0.2">
      <c r="A13">
        <v>66</v>
      </c>
      <c r="B13">
        <f t="shared" si="0"/>
        <v>2.6167371349249728E-2</v>
      </c>
      <c r="D13">
        <v>66</v>
      </c>
      <c r="E13">
        <f t="shared" si="1"/>
        <v>7.8208538795091181E-2</v>
      </c>
      <c r="G13">
        <v>61</v>
      </c>
      <c r="H13">
        <f t="shared" si="2"/>
        <v>3.8837210996642592E-2</v>
      </c>
    </row>
    <row r="14" spans="1:8" x14ac:dyDescent="0.2">
      <c r="A14">
        <v>67</v>
      </c>
      <c r="B14">
        <f t="shared" si="0"/>
        <v>3.0201041081328678E-2</v>
      </c>
      <c r="D14">
        <v>67</v>
      </c>
      <c r="E14">
        <f t="shared" si="1"/>
        <v>7.9788456080286549E-2</v>
      </c>
      <c r="G14">
        <v>62</v>
      </c>
      <c r="H14">
        <f t="shared" si="2"/>
        <v>4.8394144903828672E-2</v>
      </c>
    </row>
    <row r="15" spans="1:8" x14ac:dyDescent="0.2">
      <c r="A15">
        <v>68</v>
      </c>
      <c r="B15">
        <f t="shared" si="0"/>
        <v>3.4273527953731169E-2</v>
      </c>
      <c r="D15">
        <v>68</v>
      </c>
      <c r="E15">
        <f t="shared" si="1"/>
        <v>7.8208538795091181E-2</v>
      </c>
      <c r="G15">
        <v>63</v>
      </c>
      <c r="H15">
        <f t="shared" si="2"/>
        <v>5.7938310552296549E-2</v>
      </c>
    </row>
    <row r="16" spans="1:8" x14ac:dyDescent="0.2">
      <c r="A16">
        <v>69</v>
      </c>
      <c r="B16">
        <f t="shared" si="0"/>
        <v>3.8244658579202548E-2</v>
      </c>
      <c r="D16">
        <v>69</v>
      </c>
      <c r="E16">
        <f t="shared" si="1"/>
        <v>7.3654028060664664E-2</v>
      </c>
      <c r="G16">
        <v>64</v>
      </c>
      <c r="H16">
        <f t="shared" si="2"/>
        <v>6.6644920578359926E-2</v>
      </c>
    </row>
    <row r="17" spans="1:8" x14ac:dyDescent="0.2">
      <c r="A17">
        <v>70</v>
      </c>
      <c r="B17">
        <f t="shared" si="0"/>
        <v>4.1962161015941198E-2</v>
      </c>
      <c r="D17">
        <v>70</v>
      </c>
      <c r="E17">
        <f t="shared" si="1"/>
        <v>6.6644920578359926E-2</v>
      </c>
      <c r="G17">
        <v>65</v>
      </c>
      <c r="H17">
        <f t="shared" si="2"/>
        <v>7.3654028060664664E-2</v>
      </c>
    </row>
    <row r="18" spans="1:8" x14ac:dyDescent="0.2">
      <c r="A18">
        <v>71</v>
      </c>
      <c r="B18">
        <f t="shared" si="0"/>
        <v>4.5270989178871436E-2</v>
      </c>
      <c r="D18">
        <v>71</v>
      </c>
      <c r="E18">
        <f t="shared" si="1"/>
        <v>5.7938310552296549E-2</v>
      </c>
      <c r="G18">
        <v>66</v>
      </c>
      <c r="H18">
        <f t="shared" si="2"/>
        <v>7.8208538795091181E-2</v>
      </c>
    </row>
    <row r="19" spans="1:8" x14ac:dyDescent="0.2">
      <c r="A19">
        <v>72</v>
      </c>
      <c r="B19">
        <f t="shared" si="0"/>
        <v>4.8023875287697873E-2</v>
      </c>
      <c r="D19">
        <v>72</v>
      </c>
      <c r="E19">
        <f t="shared" si="1"/>
        <v>4.8394144903828672E-2</v>
      </c>
      <c r="G19">
        <v>67</v>
      </c>
      <c r="H19">
        <f t="shared" si="2"/>
        <v>7.9788456080286549E-2</v>
      </c>
    </row>
    <row r="20" spans="1:8" x14ac:dyDescent="0.2">
      <c r="A20">
        <v>73</v>
      </c>
      <c r="B20">
        <f t="shared" si="0"/>
        <v>5.0092130287010504E-2</v>
      </c>
      <c r="D20">
        <v>73</v>
      </c>
      <c r="E20">
        <f t="shared" si="1"/>
        <v>3.8837210996642592E-2</v>
      </c>
      <c r="G20">
        <v>68</v>
      </c>
      <c r="H20">
        <f t="shared" si="2"/>
        <v>7.8208538795091181E-2</v>
      </c>
    </row>
    <row r="21" spans="1:8" x14ac:dyDescent="0.2">
      <c r="A21">
        <v>74</v>
      </c>
      <c r="B21">
        <f t="shared" si="0"/>
        <v>5.1375596918556629E-2</v>
      </c>
      <c r="D21">
        <v>74</v>
      </c>
      <c r="E21">
        <f t="shared" si="1"/>
        <v>2.9945493127148972E-2</v>
      </c>
      <c r="G21">
        <v>69</v>
      </c>
      <c r="H21">
        <f t="shared" si="2"/>
        <v>7.3654028060664664E-2</v>
      </c>
    </row>
    <row r="22" spans="1:8" x14ac:dyDescent="0.2">
      <c r="A22">
        <v>75</v>
      </c>
      <c r="B22">
        <f t="shared" si="0"/>
        <v>5.1810685766419826E-2</v>
      </c>
      <c r="D22">
        <v>75</v>
      </c>
      <c r="E22">
        <f t="shared" si="1"/>
        <v>2.2184166935891109E-2</v>
      </c>
      <c r="G22">
        <v>70</v>
      </c>
      <c r="H22">
        <f t="shared" si="2"/>
        <v>6.6644920578359926E-2</v>
      </c>
    </row>
    <row r="23" spans="1:8" x14ac:dyDescent="0.2">
      <c r="A23">
        <v>76</v>
      </c>
      <c r="B23">
        <f t="shared" si="0"/>
        <v>5.1375596918556629E-2</v>
      </c>
      <c r="D23">
        <v>76</v>
      </c>
      <c r="E23">
        <f t="shared" si="1"/>
        <v>1.5790031660178828E-2</v>
      </c>
      <c r="G23">
        <v>71</v>
      </c>
      <c r="H23">
        <f t="shared" si="2"/>
        <v>5.7938310552296549E-2</v>
      </c>
    </row>
    <row r="24" spans="1:8" x14ac:dyDescent="0.2">
      <c r="A24">
        <v>77</v>
      </c>
      <c r="B24">
        <f t="shared" si="0"/>
        <v>5.0092130287010504E-2</v>
      </c>
      <c r="D24">
        <v>77</v>
      </c>
      <c r="E24">
        <f t="shared" si="1"/>
        <v>1.0798193302637612E-2</v>
      </c>
      <c r="G24">
        <v>72</v>
      </c>
      <c r="H24">
        <f t="shared" si="2"/>
        <v>4.8394144903828672E-2</v>
      </c>
    </row>
    <row r="25" spans="1:8" x14ac:dyDescent="0.2">
      <c r="A25">
        <v>78</v>
      </c>
      <c r="B25">
        <f t="shared" si="0"/>
        <v>4.8023875287697873E-2</v>
      </c>
      <c r="D25">
        <v>78</v>
      </c>
      <c r="E25">
        <f t="shared" si="1"/>
        <v>7.0949185692462842E-3</v>
      </c>
      <c r="G25">
        <v>73</v>
      </c>
      <c r="H25">
        <f t="shared" si="2"/>
        <v>3.8837210996642592E-2</v>
      </c>
    </row>
    <row r="26" spans="1:8" x14ac:dyDescent="0.2">
      <c r="A26">
        <v>79</v>
      </c>
      <c r="B26">
        <f t="shared" si="0"/>
        <v>4.5270989178871436E-2</v>
      </c>
      <c r="D26">
        <v>79</v>
      </c>
      <c r="E26">
        <f t="shared" si="1"/>
        <v>4.4789060589685804E-3</v>
      </c>
      <c r="G26">
        <v>74</v>
      </c>
      <c r="H26">
        <f t="shared" si="2"/>
        <v>2.9945493127148972E-2</v>
      </c>
    </row>
    <row r="27" spans="1:8" x14ac:dyDescent="0.2">
      <c r="A27">
        <v>80</v>
      </c>
      <c r="B27">
        <f t="shared" si="0"/>
        <v>4.1962161015941198E-2</v>
      </c>
      <c r="G27">
        <v>75</v>
      </c>
      <c r="H27" s="3">
        <f t="shared" ref="H27:H37" si="3">_xlfn.NORM.DIST(G27,67,5,FALSE)</f>
        <v>2.2184166935891109E-2</v>
      </c>
    </row>
    <row r="28" spans="1:8" x14ac:dyDescent="0.2">
      <c r="A28">
        <v>81</v>
      </c>
      <c r="B28">
        <f t="shared" si="0"/>
        <v>3.8244658579202548E-2</v>
      </c>
      <c r="G28">
        <v>76</v>
      </c>
      <c r="H28" s="3">
        <f t="shared" si="3"/>
        <v>1.5790031660178828E-2</v>
      </c>
    </row>
    <row r="29" spans="1:8" x14ac:dyDescent="0.2">
      <c r="A29">
        <v>82</v>
      </c>
      <c r="B29">
        <f t="shared" si="0"/>
        <v>3.4273527953731169E-2</v>
      </c>
      <c r="G29">
        <v>77</v>
      </c>
      <c r="H29" s="3">
        <f t="shared" si="3"/>
        <v>1.0798193302637612E-2</v>
      </c>
    </row>
    <row r="30" spans="1:8" x14ac:dyDescent="0.2">
      <c r="A30">
        <v>83</v>
      </c>
      <c r="B30">
        <f t="shared" si="0"/>
        <v>3.0201041081328678E-2</v>
      </c>
      <c r="G30">
        <v>78</v>
      </c>
      <c r="H30" s="3">
        <f t="shared" si="3"/>
        <v>7.0949185692462842E-3</v>
      </c>
    </row>
    <row r="31" spans="1:8" x14ac:dyDescent="0.2">
      <c r="A31">
        <v>84</v>
      </c>
      <c r="B31">
        <f t="shared" si="0"/>
        <v>2.6167371349249728E-2</v>
      </c>
      <c r="G31">
        <v>79</v>
      </c>
      <c r="H31" s="3">
        <f t="shared" si="3"/>
        <v>4.4789060589685804E-3</v>
      </c>
    </row>
    <row r="32" spans="1:8" x14ac:dyDescent="0.2">
      <c r="A32">
        <v>85</v>
      </c>
      <c r="B32">
        <f t="shared" si="0"/>
        <v>2.2293248734424131E-2</v>
      </c>
      <c r="G32">
        <v>80</v>
      </c>
      <c r="H32" s="3">
        <f t="shared" si="3"/>
        <v>2.7165938467371225E-3</v>
      </c>
    </row>
    <row r="33" spans="1:8" x14ac:dyDescent="0.2">
      <c r="A33">
        <v>86</v>
      </c>
      <c r="B33">
        <f t="shared" si="0"/>
        <v>1.8675047110242628E-2</v>
      </c>
      <c r="G33">
        <v>81</v>
      </c>
      <c r="H33" s="3">
        <f t="shared" si="3"/>
        <v>1.5830903165959939E-3</v>
      </c>
    </row>
    <row r="34" spans="1:8" x14ac:dyDescent="0.2">
      <c r="A34">
        <v>87</v>
      </c>
      <c r="B34">
        <f t="shared" si="0"/>
        <v>1.5382436497270707E-2</v>
      </c>
      <c r="G34">
        <v>82</v>
      </c>
      <c r="H34" s="3">
        <f t="shared" si="3"/>
        <v>8.8636968238760153E-4</v>
      </c>
    </row>
    <row r="35" spans="1:8" x14ac:dyDescent="0.2">
      <c r="A35">
        <v>88</v>
      </c>
      <c r="B35">
        <f t="shared" si="0"/>
        <v>1.2458439172683574E-2</v>
      </c>
      <c r="G35">
        <v>83</v>
      </c>
      <c r="H35" s="3">
        <f t="shared" si="3"/>
        <v>4.768176402929681E-4</v>
      </c>
    </row>
    <row r="36" spans="1:8" x14ac:dyDescent="0.2">
      <c r="A36">
        <v>89</v>
      </c>
      <c r="B36">
        <f t="shared" si="0"/>
        <v>9.9214973746839935E-3</v>
      </c>
      <c r="G36">
        <v>84</v>
      </c>
      <c r="H36" s="3">
        <f t="shared" si="3"/>
        <v>2.4644383369460396E-4</v>
      </c>
    </row>
    <row r="37" spans="1:8" x14ac:dyDescent="0.2">
      <c r="A37">
        <v>90</v>
      </c>
      <c r="B37">
        <f t="shared" si="0"/>
        <v>7.7690137107048222E-3</v>
      </c>
      <c r="G37">
        <v>85</v>
      </c>
      <c r="H37" s="3">
        <f t="shared" si="3"/>
        <v>1.2238038602275437E-4</v>
      </c>
    </row>
    <row r="38" spans="1:8" x14ac:dyDescent="0.2">
      <c r="A38">
        <v>91</v>
      </c>
      <c r="B38">
        <f t="shared" si="0"/>
        <v>5.9817689542108815E-3</v>
      </c>
    </row>
    <row r="39" spans="1:8" x14ac:dyDescent="0.2">
      <c r="A39">
        <v>92</v>
      </c>
      <c r="B39">
        <f t="shared" si="0"/>
        <v>4.5286469145805986E-3</v>
      </c>
    </row>
    <row r="40" spans="1:8" x14ac:dyDescent="0.2">
      <c r="A40">
        <v>93</v>
      </c>
      <c r="B40">
        <f t="shared" si="0"/>
        <v>3.3711833139078583E-3</v>
      </c>
    </row>
    <row r="41" spans="1:8" x14ac:dyDescent="0.2">
      <c r="A41">
        <v>94</v>
      </c>
      <c r="B41">
        <f t="shared" si="0"/>
        <v>2.4675806526138675E-3</v>
      </c>
    </row>
    <row r="42" spans="1:8" x14ac:dyDescent="0.2">
      <c r="A42">
        <v>95</v>
      </c>
      <c r="B42">
        <f t="shared" si="0"/>
        <v>1.7759691792987539E-3</v>
      </c>
    </row>
    <row r="43" spans="1:8" x14ac:dyDescent="0.2">
      <c r="A43">
        <v>96</v>
      </c>
      <c r="B43">
        <f t="shared" si="0"/>
        <v>1.2568243123974037E-3</v>
      </c>
    </row>
    <row r="44" spans="1:8" x14ac:dyDescent="0.2">
      <c r="A44">
        <v>97</v>
      </c>
      <c r="B44">
        <f t="shared" si="0"/>
        <v>8.745583734065251E-4</v>
      </c>
    </row>
    <row r="45" spans="1:8" x14ac:dyDescent="0.2">
      <c r="A45">
        <v>98</v>
      </c>
      <c r="B45">
        <f t="shared" si="0"/>
        <v>5.9838143609338367E-4</v>
      </c>
    </row>
    <row r="46" spans="1:8" x14ac:dyDescent="0.2">
      <c r="A46">
        <v>99</v>
      </c>
      <c r="B46">
        <f t="shared" si="0"/>
        <v>4.0257101406040519E-4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87F4-E585-CB4D-A51F-1BBE44DC60D5}">
  <dimension ref="A1:B6"/>
  <sheetViews>
    <sheetView workbookViewId="0">
      <selection activeCell="M18" sqref="M18"/>
    </sheetView>
  </sheetViews>
  <sheetFormatPr baseColWidth="10" defaultRowHeight="16" x14ac:dyDescent="0.2"/>
  <cols>
    <col min="2" max="2" width="12.33203125" customWidth="1"/>
  </cols>
  <sheetData>
    <row r="1" spans="1:2" x14ac:dyDescent="0.2">
      <c r="A1" t="s">
        <v>38</v>
      </c>
      <c r="B1" t="s">
        <v>1</v>
      </c>
    </row>
    <row r="2" spans="1:2" x14ac:dyDescent="0.2">
      <c r="A2" t="s">
        <v>39</v>
      </c>
      <c r="B2">
        <f>93/540</f>
        <v>0.17222222222222222</v>
      </c>
    </row>
    <row r="3" spans="1:2" x14ac:dyDescent="0.2">
      <c r="A3" t="s">
        <v>40</v>
      </c>
      <c r="B3">
        <f>141/540</f>
        <v>0.26111111111111113</v>
      </c>
    </row>
    <row r="4" spans="1:2" x14ac:dyDescent="0.2">
      <c r="A4" t="s">
        <v>41</v>
      </c>
      <c r="B4">
        <f>98/540</f>
        <v>0.18148148148148149</v>
      </c>
    </row>
    <row r="5" spans="1:2" x14ac:dyDescent="0.2">
      <c r="A5" t="s">
        <v>42</v>
      </c>
      <c r="B5">
        <f>121/540</f>
        <v>0.22407407407407406</v>
      </c>
    </row>
    <row r="6" spans="1:2" x14ac:dyDescent="0.2">
      <c r="A6" t="s">
        <v>43</v>
      </c>
      <c r="B6">
        <f>87/540</f>
        <v>0.16111111111111112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Archetype Distribution</vt:lpstr>
      <vt:lpstr>Overall Rating Distribution</vt:lpstr>
      <vt:lpstr>Position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Nkansah-Badu</dc:creator>
  <cp:lastModifiedBy>Ernest Nkansah-Badu</cp:lastModifiedBy>
  <dcterms:created xsi:type="dcterms:W3CDTF">2021-05-15T12:37:04Z</dcterms:created>
  <dcterms:modified xsi:type="dcterms:W3CDTF">2021-05-16T18:50:09Z</dcterms:modified>
</cp:coreProperties>
</file>